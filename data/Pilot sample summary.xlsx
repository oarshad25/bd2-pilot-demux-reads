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psyc1895_ox_ac_uk/Documents/"/>
    </mc:Choice>
  </mc:AlternateContent>
  <xr:revisionPtr revIDLastSave="2" documentId="8_{0B8B9B76-6AA5-40EF-8C17-6564ECD6DBC3}" xr6:coauthVersionLast="47" xr6:coauthVersionMax="47" xr10:uidLastSave="{6FE0ADCE-0A83-4E23-80F1-F07AA4C01891}"/>
  <bookViews>
    <workbookView xWindow="-110" yWindow="-110" windowWidth="19420" windowHeight="11500" xr2:uid="{D16AA900-C7CC-42F7-ACBF-B31717BAF978}"/>
  </bookViews>
  <sheets>
    <sheet name="Sheet1" sheetId="1" r:id="rId1"/>
    <sheet name="Sheet2" sheetId="2" r:id="rId2"/>
  </sheets>
  <definedNames>
    <definedName name="_xlnm._FilterDatabase" localSheetId="0" hidden="1">Sheet1!$A$1:$I$41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2" l="1"/>
  <c r="C12" i="2"/>
  <c r="C13" i="2"/>
  <c r="C14" i="2"/>
  <c r="C15" i="2"/>
  <c r="C16" i="2"/>
  <c r="C17" i="2"/>
  <c r="C18" i="2"/>
  <c r="C4" i="2"/>
  <c r="C5" i="2"/>
  <c r="C6" i="2"/>
  <c r="C7" i="2"/>
  <c r="C8" i="2"/>
  <c r="C9" i="2"/>
  <c r="C10" i="2"/>
  <c r="C3" i="2"/>
</calcChain>
</file>

<file path=xl/sharedStrings.xml><?xml version="1.0" encoding="utf-8"?>
<sst xmlns="http://schemas.openxmlformats.org/spreadsheetml/2006/main" count="225" uniqueCount="68">
  <si>
    <t>RIN</t>
  </si>
  <si>
    <t>Barcode</t>
  </si>
  <si>
    <t>R13118</t>
  </si>
  <si>
    <t>striatum</t>
  </si>
  <si>
    <t>Control</t>
  </si>
  <si>
    <t>LIBD</t>
  </si>
  <si>
    <t>R13119</t>
  </si>
  <si>
    <t>R11195</t>
  </si>
  <si>
    <t>hippocampus</t>
  </si>
  <si>
    <t>R12258</t>
  </si>
  <si>
    <t>frontal cortex</t>
  </si>
  <si>
    <t>R15973</t>
  </si>
  <si>
    <t>Nicola Extract</t>
  </si>
  <si>
    <t>Pilot</t>
  </si>
  <si>
    <t>Brain slice</t>
  </si>
  <si>
    <t>8471 R3</t>
  </si>
  <si>
    <t>4066 L3</t>
  </si>
  <si>
    <t>4029 R3</t>
  </si>
  <si>
    <t>sgACC</t>
  </si>
  <si>
    <t>4066R3</t>
  </si>
  <si>
    <t>8516 L3</t>
  </si>
  <si>
    <t>8471 L3</t>
  </si>
  <si>
    <t>R12693</t>
  </si>
  <si>
    <t>SCZ</t>
  </si>
  <si>
    <t>R12827</t>
  </si>
  <si>
    <t>R5037</t>
  </si>
  <si>
    <t>Bipolar</t>
  </si>
  <si>
    <t>R2508</t>
  </si>
  <si>
    <t>R11146</t>
  </si>
  <si>
    <t>R11198</t>
  </si>
  <si>
    <t>R12901</t>
  </si>
  <si>
    <t>R11271</t>
  </si>
  <si>
    <t>R2882</t>
  </si>
  <si>
    <t>R2846</t>
  </si>
  <si>
    <t>R2858</t>
  </si>
  <si>
    <t>R5759</t>
  </si>
  <si>
    <t>4066 R3</t>
  </si>
  <si>
    <t>8516 R3</t>
  </si>
  <si>
    <t>R12562</t>
  </si>
  <si>
    <t>R12703</t>
  </si>
  <si>
    <t>R4974</t>
  </si>
  <si>
    <t>R12810</t>
  </si>
  <si>
    <t>71LB 1.1</t>
  </si>
  <si>
    <t>71LB 1.2</t>
  </si>
  <si>
    <t>71LB 1.3</t>
  </si>
  <si>
    <t>71LB 3.1</t>
  </si>
  <si>
    <t>71LB 3.2</t>
  </si>
  <si>
    <t>Sample name</t>
  </si>
  <si>
    <t>Tissue tyoe</t>
  </si>
  <si>
    <t>Condition</t>
  </si>
  <si>
    <t>Protocol used</t>
  </si>
  <si>
    <t>old</t>
  </si>
  <si>
    <t>new</t>
  </si>
  <si>
    <t>modified old</t>
  </si>
  <si>
    <t>Sample origin</t>
  </si>
  <si>
    <t>Pilot capture pool</t>
  </si>
  <si>
    <t>PreCap PCR (ng/uL)</t>
  </si>
  <si>
    <t>Protocol Definitions</t>
  </si>
  <si>
    <t>Using the 1ug input to the Poly(A) selection but using all the product into the RT</t>
  </si>
  <si>
    <t>Putting 3ug into the poly(A) selection and 0.01ng spike-in added to 1ng of poly(A) RNA prior to RT</t>
  </si>
  <si>
    <t>1ng of spike in added to 1ug of total RNA prior to poly(A) selection</t>
  </si>
  <si>
    <t>Note</t>
  </si>
  <si>
    <t>Replicate of  8471 L3 frontal cortex, using old method</t>
  </si>
  <si>
    <t>Replicate of  8471 L3 frontal cortex, using new method</t>
  </si>
  <si>
    <t>Notes on sample naming conventions</t>
  </si>
  <si>
    <t>Determines hemisphere - e.g. 4066L3 and 4066R3 are the same patient, just different hemisphere</t>
  </si>
  <si>
    <t>L / R</t>
  </si>
  <si>
    <t>used for the technical 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</si>
</sst>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5" xfId="0" applyFont="1" applyBorder="1" applyAlignment="1">
      <alignment horizontal="center" vertical="center"/>
    </xf>
    <xf numFmtId="164" fontId="0" fillId="0" borderId="0" xfId="0" applyNumberFormat="1"/>
    <xf numFmtId="0" fontId="0" fillId="0" borderId="11" xfId="0" applyBorder="1"/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1" fillId="2" borderId="1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6DC3-08E4-428C-97F1-3C0ADEF0FFFF}">
  <sheetPr>
    <pageSetUpPr fitToPage="1"/>
  </sheetPr>
  <dimension ref="A1:AB55"/>
  <sheetViews>
    <sheetView tabSelected="1" topLeftCell="A16" zoomScale="85" zoomScaleNormal="85" workbookViewId="0">
      <selection activeCell="J26" sqref="J26"/>
    </sheetView>
  </sheetViews>
  <sheetFormatPr defaultRowHeight="14.5" x14ac:dyDescent="0.35"/>
  <cols>
    <col min="2" max="2" width="21.54296875" style="7" customWidth="1"/>
    <col min="3" max="3" width="23.08984375" customWidth="1"/>
    <col min="4" max="4" width="16.26953125" customWidth="1"/>
    <col min="5" max="5" width="20.08984375" customWidth="1"/>
    <col min="8" max="8" width="15" customWidth="1"/>
    <col min="9" max="9" width="21.6328125" customWidth="1"/>
    <col min="10" max="10" width="46.1796875" customWidth="1"/>
  </cols>
  <sheetData>
    <row r="1" spans="1:10" ht="44" thickBot="1" x14ac:dyDescent="0.4">
      <c r="A1" s="33" t="s">
        <v>55</v>
      </c>
      <c r="B1" s="33" t="s">
        <v>47</v>
      </c>
      <c r="C1" s="34" t="s">
        <v>48</v>
      </c>
      <c r="D1" s="34" t="s">
        <v>49</v>
      </c>
      <c r="E1" s="34" t="s">
        <v>54</v>
      </c>
      <c r="F1" s="35" t="s">
        <v>0</v>
      </c>
      <c r="G1" s="34" t="s">
        <v>1</v>
      </c>
      <c r="H1" s="34" t="s">
        <v>56</v>
      </c>
      <c r="I1" s="28" t="s">
        <v>50</v>
      </c>
      <c r="J1" s="37" t="s">
        <v>61</v>
      </c>
    </row>
    <row r="2" spans="1:10" x14ac:dyDescent="0.35">
      <c r="A2" s="46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>
        <v>8.1</v>
      </c>
      <c r="G2" s="4">
        <v>2</v>
      </c>
      <c r="H2" s="4">
        <v>13.7</v>
      </c>
      <c r="I2" s="29" t="s">
        <v>51</v>
      </c>
      <c r="J2" s="38"/>
    </row>
    <row r="3" spans="1:10" x14ac:dyDescent="0.35">
      <c r="A3" s="47"/>
      <c r="B3" s="6" t="s">
        <v>6</v>
      </c>
      <c r="C3" s="8" t="s">
        <v>3</v>
      </c>
      <c r="D3" s="8" t="s">
        <v>4</v>
      </c>
      <c r="E3" s="8" t="s">
        <v>5</v>
      </c>
      <c r="F3" s="9">
        <v>8.1</v>
      </c>
      <c r="G3" s="8">
        <v>12</v>
      </c>
      <c r="H3" s="8">
        <v>12.7</v>
      </c>
      <c r="I3" s="21" t="s">
        <v>51</v>
      </c>
      <c r="J3" s="20"/>
    </row>
    <row r="4" spans="1:10" x14ac:dyDescent="0.35">
      <c r="A4" s="47"/>
      <c r="B4" s="6" t="s">
        <v>7</v>
      </c>
      <c r="C4" s="8" t="s">
        <v>8</v>
      </c>
      <c r="D4" s="8" t="s">
        <v>4</v>
      </c>
      <c r="E4" s="8" t="s">
        <v>5</v>
      </c>
      <c r="F4" s="9">
        <v>8.4</v>
      </c>
      <c r="G4" s="8">
        <v>4</v>
      </c>
      <c r="H4" s="8">
        <v>20.399999999999999</v>
      </c>
      <c r="I4" s="21" t="s">
        <v>51</v>
      </c>
      <c r="J4" s="20"/>
    </row>
    <row r="5" spans="1:10" x14ac:dyDescent="0.35">
      <c r="A5" s="47"/>
      <c r="B5" s="6" t="s">
        <v>9</v>
      </c>
      <c r="C5" s="8" t="s">
        <v>10</v>
      </c>
      <c r="D5" s="8" t="s">
        <v>4</v>
      </c>
      <c r="E5" s="8" t="s">
        <v>5</v>
      </c>
      <c r="F5" s="9">
        <v>8.6</v>
      </c>
      <c r="G5" s="8">
        <v>15</v>
      </c>
      <c r="H5" s="8">
        <v>15.3</v>
      </c>
      <c r="I5" s="21" t="s">
        <v>51</v>
      </c>
      <c r="J5" s="20"/>
    </row>
    <row r="6" spans="1:10" x14ac:dyDescent="0.35">
      <c r="A6" s="47"/>
      <c r="B6" s="6" t="s">
        <v>11</v>
      </c>
      <c r="C6" s="8" t="s">
        <v>10</v>
      </c>
      <c r="D6" s="8" t="s">
        <v>4</v>
      </c>
      <c r="E6" s="8" t="s">
        <v>5</v>
      </c>
      <c r="F6" s="9">
        <v>8.1999999999999993</v>
      </c>
      <c r="G6" s="8">
        <v>6</v>
      </c>
      <c r="H6" s="8">
        <v>10.3</v>
      </c>
      <c r="I6" s="21" t="s">
        <v>51</v>
      </c>
      <c r="J6" s="20"/>
    </row>
    <row r="7" spans="1:10" x14ac:dyDescent="0.35">
      <c r="A7" s="47"/>
      <c r="B7" s="6">
        <v>5298</v>
      </c>
      <c r="C7" s="8" t="s">
        <v>10</v>
      </c>
      <c r="D7" s="8" t="s">
        <v>4</v>
      </c>
      <c r="E7" s="8" t="s">
        <v>12</v>
      </c>
      <c r="F7" s="9">
        <v>7.9</v>
      </c>
      <c r="G7" s="8">
        <v>18</v>
      </c>
      <c r="H7" s="8">
        <v>24.6</v>
      </c>
      <c r="I7" s="21" t="s">
        <v>51</v>
      </c>
      <c r="J7" s="20"/>
    </row>
    <row r="8" spans="1:10" x14ac:dyDescent="0.35">
      <c r="A8" s="47"/>
      <c r="B8" s="6" t="s">
        <v>17</v>
      </c>
      <c r="C8" s="8" t="s">
        <v>10</v>
      </c>
      <c r="D8" s="8" t="s">
        <v>13</v>
      </c>
      <c r="E8" s="8" t="s">
        <v>14</v>
      </c>
      <c r="F8" s="9">
        <v>6.7</v>
      </c>
      <c r="G8" s="8">
        <v>11</v>
      </c>
      <c r="H8" s="8">
        <v>22.2</v>
      </c>
      <c r="I8" s="21" t="s">
        <v>51</v>
      </c>
      <c r="J8" s="20"/>
    </row>
    <row r="9" spans="1:10" ht="15" thickBot="1" x14ac:dyDescent="0.4">
      <c r="A9" s="47"/>
      <c r="B9" s="11" t="s">
        <v>20</v>
      </c>
      <c r="C9" s="12" t="s">
        <v>10</v>
      </c>
      <c r="D9" s="12" t="s">
        <v>13</v>
      </c>
      <c r="E9" s="12" t="s">
        <v>14</v>
      </c>
      <c r="F9" s="13">
        <v>6.5</v>
      </c>
      <c r="G9" s="12">
        <v>21</v>
      </c>
      <c r="H9" s="12">
        <v>23.8</v>
      </c>
      <c r="I9" s="30" t="s">
        <v>51</v>
      </c>
      <c r="J9" s="39"/>
    </row>
    <row r="10" spans="1:10" x14ac:dyDescent="0.35">
      <c r="A10" s="46">
        <v>2</v>
      </c>
      <c r="B10" s="3" t="s">
        <v>22</v>
      </c>
      <c r="C10" s="8" t="s">
        <v>10</v>
      </c>
      <c r="D10" s="4" t="s">
        <v>23</v>
      </c>
      <c r="E10" s="4" t="s">
        <v>5</v>
      </c>
      <c r="F10" s="5">
        <v>8.5</v>
      </c>
      <c r="G10" s="4">
        <v>55</v>
      </c>
      <c r="H10" s="4">
        <v>60.2</v>
      </c>
      <c r="I10" s="31" t="s">
        <v>53</v>
      </c>
      <c r="J10" s="20"/>
    </row>
    <row r="11" spans="1:10" x14ac:dyDescent="0.35">
      <c r="A11" s="47"/>
      <c r="B11" s="6" t="s">
        <v>42</v>
      </c>
      <c r="C11" s="8" t="s">
        <v>10</v>
      </c>
      <c r="D11" s="8" t="s">
        <v>13</v>
      </c>
      <c r="E11" s="8" t="s">
        <v>14</v>
      </c>
      <c r="F11" s="9">
        <v>6.5</v>
      </c>
      <c r="G11" s="8">
        <v>60</v>
      </c>
      <c r="H11" s="8">
        <v>9.66</v>
      </c>
      <c r="I11" s="21" t="s">
        <v>51</v>
      </c>
      <c r="J11" s="20" t="s">
        <v>62</v>
      </c>
    </row>
    <row r="12" spans="1:10" x14ac:dyDescent="0.35">
      <c r="A12" s="47"/>
      <c r="B12" s="14" t="s">
        <v>25</v>
      </c>
      <c r="C12" s="15" t="s">
        <v>8</v>
      </c>
      <c r="D12" s="15" t="s">
        <v>26</v>
      </c>
      <c r="E12" s="15" t="s">
        <v>5</v>
      </c>
      <c r="F12" s="9">
        <v>8.6999999999999993</v>
      </c>
      <c r="G12" s="15">
        <v>52</v>
      </c>
      <c r="H12" s="15">
        <v>72</v>
      </c>
      <c r="I12" s="31" t="s">
        <v>53</v>
      </c>
      <c r="J12" s="20"/>
    </row>
    <row r="13" spans="1:10" x14ac:dyDescent="0.35">
      <c r="A13" s="47"/>
      <c r="B13" s="14" t="s">
        <v>38</v>
      </c>
      <c r="C13" s="15" t="s">
        <v>10</v>
      </c>
      <c r="D13" s="15" t="s">
        <v>4</v>
      </c>
      <c r="E13" s="15" t="s">
        <v>5</v>
      </c>
      <c r="F13" s="9">
        <v>8.1999999999999993</v>
      </c>
      <c r="G13" s="22">
        <v>70</v>
      </c>
      <c r="H13" s="8">
        <v>61</v>
      </c>
      <c r="I13" s="31" t="s">
        <v>53</v>
      </c>
      <c r="J13" s="20"/>
    </row>
    <row r="14" spans="1:10" x14ac:dyDescent="0.35">
      <c r="A14" s="47"/>
      <c r="B14" s="6" t="s">
        <v>15</v>
      </c>
      <c r="C14" s="8" t="s">
        <v>10</v>
      </c>
      <c r="D14" s="15" t="s">
        <v>13</v>
      </c>
      <c r="E14" s="15" t="s">
        <v>14</v>
      </c>
      <c r="F14" s="9">
        <v>5.7</v>
      </c>
      <c r="G14" s="15">
        <v>63</v>
      </c>
      <c r="H14" s="15">
        <v>56.8</v>
      </c>
      <c r="I14" s="31" t="s">
        <v>52</v>
      </c>
      <c r="J14" s="20"/>
    </row>
    <row r="15" spans="1:10" x14ac:dyDescent="0.35">
      <c r="A15" s="47"/>
      <c r="B15" s="6" t="s">
        <v>16</v>
      </c>
      <c r="C15" s="8" t="s">
        <v>10</v>
      </c>
      <c r="D15" s="15" t="s">
        <v>13</v>
      </c>
      <c r="E15" s="15" t="s">
        <v>14</v>
      </c>
      <c r="F15" s="9">
        <v>6.6</v>
      </c>
      <c r="G15" s="15">
        <v>66</v>
      </c>
      <c r="H15" s="15">
        <v>53.8</v>
      </c>
      <c r="I15" s="31" t="s">
        <v>52</v>
      </c>
      <c r="J15" s="20"/>
    </row>
    <row r="16" spans="1:10" x14ac:dyDescent="0.35">
      <c r="A16" s="47"/>
      <c r="B16" s="6" t="s">
        <v>17</v>
      </c>
      <c r="C16" s="15" t="s">
        <v>18</v>
      </c>
      <c r="D16" s="15" t="s">
        <v>13</v>
      </c>
      <c r="E16" s="15" t="s">
        <v>14</v>
      </c>
      <c r="F16" s="9">
        <v>5.5</v>
      </c>
      <c r="G16" s="15">
        <v>61</v>
      </c>
      <c r="H16" s="15">
        <v>61</v>
      </c>
      <c r="I16" s="31" t="s">
        <v>52</v>
      </c>
      <c r="J16" s="20"/>
    </row>
    <row r="17" spans="1:28" ht="15" thickBot="1" x14ac:dyDescent="0.4">
      <c r="A17" s="48"/>
      <c r="B17" s="11" t="s">
        <v>19</v>
      </c>
      <c r="C17" s="12" t="s">
        <v>18</v>
      </c>
      <c r="D17" s="12" t="s">
        <v>13</v>
      </c>
      <c r="E17" s="12" t="s">
        <v>14</v>
      </c>
      <c r="F17" s="13">
        <v>5.9</v>
      </c>
      <c r="G17" s="12">
        <v>62</v>
      </c>
      <c r="H17" s="12">
        <v>54.8</v>
      </c>
      <c r="I17" s="32" t="s">
        <v>52</v>
      </c>
      <c r="J17" s="39"/>
    </row>
    <row r="18" spans="1:28" x14ac:dyDescent="0.35">
      <c r="A18" s="46">
        <v>3</v>
      </c>
      <c r="B18" s="3" t="s">
        <v>24</v>
      </c>
      <c r="C18" s="4" t="s">
        <v>10</v>
      </c>
      <c r="D18" s="4" t="s">
        <v>23</v>
      </c>
      <c r="E18" s="4" t="s">
        <v>5</v>
      </c>
      <c r="F18" s="5">
        <v>9.1</v>
      </c>
      <c r="G18" s="4">
        <v>56</v>
      </c>
      <c r="H18" s="4">
        <v>97.2</v>
      </c>
      <c r="I18" s="31" t="s">
        <v>53</v>
      </c>
      <c r="J18" s="20"/>
      <c r="AB18" s="1"/>
    </row>
    <row r="19" spans="1:28" x14ac:dyDescent="0.35">
      <c r="A19" s="47"/>
      <c r="B19" s="14" t="s">
        <v>32</v>
      </c>
      <c r="C19" s="15" t="s">
        <v>10</v>
      </c>
      <c r="D19" s="15" t="s">
        <v>26</v>
      </c>
      <c r="E19" s="15" t="s">
        <v>5</v>
      </c>
      <c r="F19" s="9">
        <v>8.5</v>
      </c>
      <c r="G19" s="15">
        <v>67</v>
      </c>
      <c r="H19" s="15">
        <v>48.5</v>
      </c>
      <c r="I19" s="31" t="s">
        <v>53</v>
      </c>
      <c r="J19" s="20"/>
      <c r="AB19" s="1"/>
    </row>
    <row r="20" spans="1:28" x14ac:dyDescent="0.35">
      <c r="A20" s="47"/>
      <c r="B20" s="14" t="s">
        <v>30</v>
      </c>
      <c r="C20" s="15" t="s">
        <v>8</v>
      </c>
      <c r="D20" s="15" t="s">
        <v>4</v>
      </c>
      <c r="E20" s="15" t="s">
        <v>5</v>
      </c>
      <c r="F20" s="9">
        <v>8.1999999999999993</v>
      </c>
      <c r="G20" s="15">
        <v>76</v>
      </c>
      <c r="H20" s="15">
        <v>21.6</v>
      </c>
      <c r="I20" s="31" t="s">
        <v>53</v>
      </c>
      <c r="J20" s="20"/>
    </row>
    <row r="21" spans="1:28" x14ac:dyDescent="0.35">
      <c r="A21" s="47"/>
      <c r="B21" s="14" t="s">
        <v>31</v>
      </c>
      <c r="C21" s="15" t="s">
        <v>10</v>
      </c>
      <c r="D21" s="15" t="s">
        <v>26</v>
      </c>
      <c r="E21" s="15" t="s">
        <v>5</v>
      </c>
      <c r="F21" s="9">
        <v>8.3000000000000007</v>
      </c>
      <c r="G21" s="15">
        <v>68</v>
      </c>
      <c r="H21" s="15">
        <v>39.1</v>
      </c>
      <c r="I21" s="31" t="s">
        <v>53</v>
      </c>
      <c r="J21" s="20"/>
    </row>
    <row r="22" spans="1:28" x14ac:dyDescent="0.35">
      <c r="A22" s="47"/>
      <c r="B22" s="6" t="s">
        <v>16</v>
      </c>
      <c r="C22" s="15" t="s">
        <v>18</v>
      </c>
      <c r="D22" s="15" t="s">
        <v>13</v>
      </c>
      <c r="E22" s="15" t="s">
        <v>14</v>
      </c>
      <c r="F22" s="9">
        <v>5.3</v>
      </c>
      <c r="G22" s="8">
        <v>78</v>
      </c>
      <c r="H22" s="8">
        <v>25.2</v>
      </c>
      <c r="I22" s="31" t="s">
        <v>52</v>
      </c>
      <c r="J22" s="20"/>
    </row>
    <row r="23" spans="1:28" x14ac:dyDescent="0.35">
      <c r="A23" s="47"/>
      <c r="B23" s="6" t="s">
        <v>15</v>
      </c>
      <c r="C23" s="15" t="s">
        <v>18</v>
      </c>
      <c r="D23" s="15" t="s">
        <v>13</v>
      </c>
      <c r="E23" s="15" t="s">
        <v>14</v>
      </c>
      <c r="F23" s="9">
        <v>5.3</v>
      </c>
      <c r="G23" s="8">
        <v>79</v>
      </c>
      <c r="H23" s="8">
        <v>36.4</v>
      </c>
      <c r="I23" s="31" t="s">
        <v>52</v>
      </c>
      <c r="J23" s="20"/>
    </row>
    <row r="24" spans="1:28" x14ac:dyDescent="0.35">
      <c r="A24" s="47"/>
      <c r="B24" s="6" t="s">
        <v>36</v>
      </c>
      <c r="C24" s="8" t="s">
        <v>10</v>
      </c>
      <c r="D24" s="15" t="s">
        <v>13</v>
      </c>
      <c r="E24" s="15" t="s">
        <v>14</v>
      </c>
      <c r="F24" s="9">
        <v>6.5</v>
      </c>
      <c r="G24" s="8">
        <v>80</v>
      </c>
      <c r="H24" s="8">
        <v>54.4</v>
      </c>
      <c r="I24" s="31" t="s">
        <v>52</v>
      </c>
      <c r="J24" s="20"/>
    </row>
    <row r="25" spans="1:28" ht="15" thickBot="1" x14ac:dyDescent="0.4">
      <c r="A25" s="48"/>
      <c r="B25" s="11" t="s">
        <v>21</v>
      </c>
      <c r="C25" s="12" t="s">
        <v>10</v>
      </c>
      <c r="D25" s="12" t="s">
        <v>13</v>
      </c>
      <c r="E25" s="12" t="s">
        <v>14</v>
      </c>
      <c r="F25" s="13">
        <v>6.5</v>
      </c>
      <c r="G25" s="12">
        <v>81</v>
      </c>
      <c r="H25" s="12">
        <v>47.6</v>
      </c>
      <c r="I25" s="32" t="s">
        <v>52</v>
      </c>
      <c r="J25" s="39" t="s">
        <v>67</v>
      </c>
    </row>
    <row r="26" spans="1:28" x14ac:dyDescent="0.35">
      <c r="A26" s="46">
        <v>4</v>
      </c>
      <c r="B26" s="6" t="s">
        <v>43</v>
      </c>
      <c r="C26" s="8" t="s">
        <v>10</v>
      </c>
      <c r="D26" s="8" t="s">
        <v>13</v>
      </c>
      <c r="E26" s="8" t="s">
        <v>14</v>
      </c>
      <c r="F26" s="9">
        <v>6.5</v>
      </c>
      <c r="G26" s="8">
        <v>58</v>
      </c>
      <c r="H26" s="8">
        <v>13.5</v>
      </c>
      <c r="I26" s="21" t="s">
        <v>51</v>
      </c>
      <c r="J26" s="20" t="s">
        <v>62</v>
      </c>
    </row>
    <row r="27" spans="1:28" x14ac:dyDescent="0.35">
      <c r="A27" s="47"/>
      <c r="B27" s="6" t="s">
        <v>44</v>
      </c>
      <c r="C27" s="8" t="s">
        <v>10</v>
      </c>
      <c r="D27" s="8" t="s">
        <v>13</v>
      </c>
      <c r="E27" s="8" t="s">
        <v>14</v>
      </c>
      <c r="F27" s="9">
        <v>6.5</v>
      </c>
      <c r="G27" s="8">
        <v>59</v>
      </c>
      <c r="H27" s="8">
        <v>21</v>
      </c>
      <c r="I27" s="21" t="s">
        <v>51</v>
      </c>
      <c r="J27" s="20" t="s">
        <v>62</v>
      </c>
      <c r="K27" s="8"/>
      <c r="L27" s="8"/>
    </row>
    <row r="28" spans="1:28" x14ac:dyDescent="0.35">
      <c r="A28" s="47"/>
      <c r="B28" s="14" t="s">
        <v>27</v>
      </c>
      <c r="C28" s="15" t="s">
        <v>8</v>
      </c>
      <c r="D28" s="15" t="s">
        <v>26</v>
      </c>
      <c r="E28" s="15" t="s">
        <v>5</v>
      </c>
      <c r="F28" s="9">
        <v>8.9</v>
      </c>
      <c r="G28" s="15">
        <v>53</v>
      </c>
      <c r="H28" s="15">
        <v>73.400000000000006</v>
      </c>
      <c r="I28" s="31" t="s">
        <v>53</v>
      </c>
      <c r="J28" s="20"/>
    </row>
    <row r="29" spans="1:28" x14ac:dyDescent="0.35">
      <c r="A29" s="47"/>
      <c r="B29" s="14" t="s">
        <v>28</v>
      </c>
      <c r="C29" s="15" t="s">
        <v>8</v>
      </c>
      <c r="D29" s="15" t="s">
        <v>4</v>
      </c>
      <c r="E29" s="15" t="s">
        <v>5</v>
      </c>
      <c r="F29" s="9">
        <v>8.1</v>
      </c>
      <c r="G29" s="16">
        <v>74</v>
      </c>
      <c r="H29" s="15">
        <v>26.5</v>
      </c>
      <c r="I29" s="31" t="s">
        <v>53</v>
      </c>
      <c r="J29" s="20"/>
    </row>
    <row r="30" spans="1:28" x14ac:dyDescent="0.35">
      <c r="A30" s="47"/>
      <c r="B30" s="14" t="s">
        <v>41</v>
      </c>
      <c r="C30" s="15" t="s">
        <v>10</v>
      </c>
      <c r="D30" s="15" t="s">
        <v>4</v>
      </c>
      <c r="E30" s="15" t="s">
        <v>5</v>
      </c>
      <c r="F30" s="9">
        <v>9</v>
      </c>
      <c r="G30" s="8">
        <v>83</v>
      </c>
      <c r="H30" s="8">
        <v>46.8</v>
      </c>
      <c r="I30" s="31" t="s">
        <v>53</v>
      </c>
      <c r="J30" s="20"/>
    </row>
    <row r="31" spans="1:28" x14ac:dyDescent="0.35">
      <c r="A31" s="47"/>
      <c r="B31" s="6" t="s">
        <v>37</v>
      </c>
      <c r="C31" s="15" t="s">
        <v>10</v>
      </c>
      <c r="D31" s="15" t="s">
        <v>13</v>
      </c>
      <c r="E31" s="15" t="s">
        <v>14</v>
      </c>
      <c r="F31" s="9">
        <v>6.6</v>
      </c>
      <c r="G31" s="8">
        <v>82</v>
      </c>
      <c r="H31" s="8">
        <v>32.6</v>
      </c>
      <c r="I31" s="31" t="s">
        <v>53</v>
      </c>
      <c r="J31" s="20"/>
    </row>
    <row r="32" spans="1:28" x14ac:dyDescent="0.35">
      <c r="A32" s="47"/>
      <c r="B32" s="6" t="s">
        <v>20</v>
      </c>
      <c r="C32" s="15" t="s">
        <v>18</v>
      </c>
      <c r="D32" s="15" t="s">
        <v>13</v>
      </c>
      <c r="E32" s="15" t="s">
        <v>14</v>
      </c>
      <c r="F32" s="9">
        <v>4.8</v>
      </c>
      <c r="G32" s="15">
        <v>64</v>
      </c>
      <c r="H32" s="15">
        <v>90.6</v>
      </c>
      <c r="I32" s="31" t="s">
        <v>52</v>
      </c>
      <c r="J32" s="20"/>
    </row>
    <row r="33" spans="1:13" ht="15" thickBot="1" x14ac:dyDescent="0.4">
      <c r="A33" s="48"/>
      <c r="B33" s="11" t="s">
        <v>21</v>
      </c>
      <c r="C33" s="12" t="s">
        <v>18</v>
      </c>
      <c r="D33" s="12" t="s">
        <v>13</v>
      </c>
      <c r="E33" s="12" t="s">
        <v>14</v>
      </c>
      <c r="F33" s="13">
        <v>3.9</v>
      </c>
      <c r="G33" s="12">
        <v>65</v>
      </c>
      <c r="H33" s="12">
        <v>40.799999999999997</v>
      </c>
      <c r="I33" s="32" t="s">
        <v>52</v>
      </c>
      <c r="J33" s="39"/>
    </row>
    <row r="34" spans="1:13" x14ac:dyDescent="0.35">
      <c r="A34" s="46">
        <v>5</v>
      </c>
      <c r="B34" s="2" t="s">
        <v>33</v>
      </c>
      <c r="C34" s="4" t="s">
        <v>10</v>
      </c>
      <c r="D34" s="4" t="s">
        <v>26</v>
      </c>
      <c r="E34" s="4" t="s">
        <v>5</v>
      </c>
      <c r="F34" s="5">
        <v>8.4</v>
      </c>
      <c r="G34" s="4">
        <v>77</v>
      </c>
      <c r="H34" s="4">
        <v>54.4</v>
      </c>
      <c r="I34" s="31" t="s">
        <v>53</v>
      </c>
      <c r="J34" s="20"/>
    </row>
    <row r="35" spans="1:13" x14ac:dyDescent="0.35">
      <c r="A35" s="47"/>
      <c r="B35" s="14" t="s">
        <v>34</v>
      </c>
      <c r="C35" s="15" t="s">
        <v>10</v>
      </c>
      <c r="D35" s="15" t="s">
        <v>26</v>
      </c>
      <c r="E35" s="15" t="s">
        <v>5</v>
      </c>
      <c r="F35" s="9">
        <v>8.6</v>
      </c>
      <c r="G35" s="15">
        <v>73</v>
      </c>
      <c r="H35" s="15">
        <v>70.5</v>
      </c>
      <c r="I35" s="31" t="s">
        <v>53</v>
      </c>
      <c r="J35" s="20"/>
    </row>
    <row r="36" spans="1:13" x14ac:dyDescent="0.35">
      <c r="A36" s="47"/>
      <c r="B36" s="14" t="s">
        <v>35</v>
      </c>
      <c r="C36" s="15" t="s">
        <v>8</v>
      </c>
      <c r="D36" s="15" t="s">
        <v>26</v>
      </c>
      <c r="E36" s="15" t="s">
        <v>5</v>
      </c>
      <c r="F36" s="9">
        <v>9.1</v>
      </c>
      <c r="G36" s="15">
        <v>75</v>
      </c>
      <c r="H36" s="15">
        <v>82.9</v>
      </c>
      <c r="I36" s="31" t="s">
        <v>53</v>
      </c>
      <c r="J36" s="20"/>
      <c r="K36" s="17"/>
      <c r="L36" s="17"/>
      <c r="M36" s="17"/>
    </row>
    <row r="37" spans="1:13" x14ac:dyDescent="0.35">
      <c r="A37" s="47"/>
      <c r="B37" s="6" t="s">
        <v>45</v>
      </c>
      <c r="C37" s="8" t="s">
        <v>10</v>
      </c>
      <c r="D37" s="23" t="s">
        <v>13</v>
      </c>
      <c r="E37" s="23" t="s">
        <v>14</v>
      </c>
      <c r="F37" s="24">
        <v>6.5</v>
      </c>
      <c r="G37" s="8">
        <v>54</v>
      </c>
      <c r="H37" s="8">
        <v>34.6</v>
      </c>
      <c r="I37" s="10" t="s">
        <v>52</v>
      </c>
      <c r="J37" s="20" t="s">
        <v>63</v>
      </c>
      <c r="K37" s="15"/>
      <c r="L37" s="15"/>
      <c r="M37" s="17"/>
    </row>
    <row r="38" spans="1:13" x14ac:dyDescent="0.35">
      <c r="A38" s="49"/>
      <c r="B38" s="6" t="s">
        <v>46</v>
      </c>
      <c r="C38" s="8" t="s">
        <v>10</v>
      </c>
      <c r="D38" s="25" t="s">
        <v>13</v>
      </c>
      <c r="E38" s="25" t="s">
        <v>14</v>
      </c>
      <c r="F38" s="24">
        <v>6.5</v>
      </c>
      <c r="G38" s="15">
        <v>57</v>
      </c>
      <c r="H38" s="15">
        <v>36</v>
      </c>
      <c r="I38" s="21" t="s">
        <v>52</v>
      </c>
      <c r="J38" s="20" t="s">
        <v>63</v>
      </c>
      <c r="K38" s="17"/>
      <c r="L38" s="17"/>
      <c r="M38" s="17"/>
    </row>
    <row r="39" spans="1:13" x14ac:dyDescent="0.35">
      <c r="A39" s="49"/>
      <c r="B39" s="6" t="s">
        <v>39</v>
      </c>
      <c r="C39" s="25" t="s">
        <v>10</v>
      </c>
      <c r="D39" s="25" t="s">
        <v>23</v>
      </c>
      <c r="E39" s="25" t="s">
        <v>5</v>
      </c>
      <c r="F39" s="24">
        <v>8.5</v>
      </c>
      <c r="G39" s="15">
        <v>71</v>
      </c>
      <c r="H39" s="15">
        <v>44</v>
      </c>
      <c r="I39" s="31" t="s">
        <v>53</v>
      </c>
      <c r="J39" s="20"/>
    </row>
    <row r="40" spans="1:13" x14ac:dyDescent="0.35">
      <c r="A40" s="47"/>
      <c r="B40" s="14" t="s">
        <v>40</v>
      </c>
      <c r="C40" s="25" t="s">
        <v>8</v>
      </c>
      <c r="D40" s="25" t="s">
        <v>26</v>
      </c>
      <c r="E40" s="25" t="s">
        <v>5</v>
      </c>
      <c r="F40" s="24">
        <v>8.1999999999999993</v>
      </c>
      <c r="G40" s="8">
        <v>72</v>
      </c>
      <c r="H40" s="8">
        <v>80.8</v>
      </c>
      <c r="I40" s="31" t="s">
        <v>53</v>
      </c>
      <c r="J40" s="20"/>
    </row>
    <row r="41" spans="1:13" ht="15" thickBot="1" x14ac:dyDescent="0.4">
      <c r="A41" s="48"/>
      <c r="B41" s="18" t="s">
        <v>29</v>
      </c>
      <c r="C41" s="12" t="s">
        <v>8</v>
      </c>
      <c r="D41" s="12" t="s">
        <v>4</v>
      </c>
      <c r="E41" s="12" t="s">
        <v>5</v>
      </c>
      <c r="F41" s="13">
        <v>8.1</v>
      </c>
      <c r="G41" s="12">
        <v>69</v>
      </c>
      <c r="H41" s="12">
        <v>20</v>
      </c>
      <c r="I41" s="32" t="s">
        <v>53</v>
      </c>
      <c r="J41" s="39"/>
    </row>
    <row r="43" spans="1:13" x14ac:dyDescent="0.35">
      <c r="A43" s="26"/>
      <c r="B43" s="45" t="s">
        <v>57</v>
      </c>
      <c r="C43" s="45"/>
      <c r="D43" s="45"/>
      <c r="E43" s="45"/>
      <c r="F43" s="45"/>
      <c r="G43" s="45"/>
      <c r="H43" s="45"/>
      <c r="I43" s="45"/>
    </row>
    <row r="44" spans="1:13" x14ac:dyDescent="0.35">
      <c r="A44" s="26"/>
      <c r="B44" s="43" t="s">
        <v>53</v>
      </c>
      <c r="C44" s="43"/>
      <c r="D44" s="43" t="s">
        <v>58</v>
      </c>
      <c r="E44" s="43"/>
      <c r="F44" s="43"/>
      <c r="G44" s="43"/>
      <c r="H44" s="43"/>
      <c r="I44" s="43"/>
    </row>
    <row r="45" spans="1:13" x14ac:dyDescent="0.35">
      <c r="A45" s="26"/>
      <c r="B45" s="43" t="s">
        <v>51</v>
      </c>
      <c r="C45" s="43"/>
      <c r="D45" s="43" t="s">
        <v>60</v>
      </c>
      <c r="E45" s="43"/>
      <c r="F45" s="43"/>
      <c r="G45" s="43"/>
      <c r="H45" s="43"/>
      <c r="I45" s="43"/>
    </row>
    <row r="46" spans="1:13" x14ac:dyDescent="0.35">
      <c r="A46" s="26"/>
      <c r="B46" s="44" t="s">
        <v>52</v>
      </c>
      <c r="C46" s="44"/>
      <c r="D46" s="43" t="s">
        <v>59</v>
      </c>
      <c r="E46" s="43"/>
      <c r="F46" s="43"/>
      <c r="G46" s="43"/>
      <c r="H46" s="43"/>
      <c r="I46" s="43"/>
    </row>
    <row r="47" spans="1:13" x14ac:dyDescent="0.35">
      <c r="A47" s="26"/>
      <c r="B47" s="25"/>
      <c r="C47" s="26"/>
      <c r="D47" s="26"/>
      <c r="E47" s="26"/>
      <c r="F47" s="26"/>
    </row>
    <row r="48" spans="1:13" x14ac:dyDescent="0.35">
      <c r="A48" s="26"/>
      <c r="C48" s="42" t="s">
        <v>64</v>
      </c>
      <c r="D48" s="42"/>
      <c r="E48" s="42"/>
      <c r="F48" s="42"/>
      <c r="G48" s="42"/>
      <c r="H48" s="42"/>
      <c r="I48" s="42"/>
    </row>
    <row r="49" spans="1:9" x14ac:dyDescent="0.35">
      <c r="A49" s="26"/>
      <c r="C49" s="40" t="s">
        <v>66</v>
      </c>
      <c r="D49" s="41" t="s">
        <v>65</v>
      </c>
      <c r="E49" s="41"/>
      <c r="F49" s="41"/>
      <c r="G49" s="41"/>
      <c r="H49" s="41"/>
      <c r="I49" s="41"/>
    </row>
    <row r="50" spans="1:9" x14ac:dyDescent="0.35">
      <c r="A50" s="26"/>
      <c r="B50" s="36"/>
      <c r="C50" s="36"/>
      <c r="D50" s="36"/>
      <c r="E50" s="36"/>
      <c r="F50" s="36"/>
      <c r="G50" s="36"/>
      <c r="H50" s="36"/>
      <c r="I50" s="36"/>
    </row>
    <row r="51" spans="1:9" x14ac:dyDescent="0.35">
      <c r="A51" s="26"/>
      <c r="B51" s="27"/>
      <c r="C51" s="26"/>
      <c r="D51" s="26"/>
      <c r="E51" s="26"/>
      <c r="F51" s="26"/>
    </row>
    <row r="52" spans="1:9" x14ac:dyDescent="0.35">
      <c r="A52" s="26"/>
      <c r="B52" s="27"/>
      <c r="C52" s="26"/>
      <c r="D52" s="26"/>
      <c r="E52" s="26"/>
      <c r="F52" s="26"/>
    </row>
    <row r="53" spans="1:9" x14ac:dyDescent="0.35">
      <c r="A53" s="26"/>
      <c r="B53" s="27"/>
      <c r="C53" s="26"/>
      <c r="D53" s="26"/>
      <c r="E53" s="26"/>
      <c r="F53" s="26"/>
    </row>
    <row r="54" spans="1:9" x14ac:dyDescent="0.35">
      <c r="A54" s="26"/>
      <c r="B54" s="27"/>
      <c r="C54" s="26"/>
      <c r="D54" s="26"/>
      <c r="E54" s="26"/>
      <c r="F54" s="26"/>
    </row>
    <row r="55" spans="1:9" x14ac:dyDescent="0.35">
      <c r="A55" s="26"/>
      <c r="B55" s="27"/>
      <c r="C55" s="26"/>
      <c r="D55" s="26"/>
      <c r="E55" s="26"/>
      <c r="F55" s="26"/>
    </row>
  </sheetData>
  <mergeCells count="14">
    <mergeCell ref="A2:A9"/>
    <mergeCell ref="A10:A17"/>
    <mergeCell ref="A18:A25"/>
    <mergeCell ref="B43:I43"/>
    <mergeCell ref="B44:C44"/>
    <mergeCell ref="D44:I44"/>
    <mergeCell ref="D45:I45"/>
    <mergeCell ref="A26:A33"/>
    <mergeCell ref="A34:A41"/>
    <mergeCell ref="D49:I49"/>
    <mergeCell ref="C48:I48"/>
    <mergeCell ref="D46:I46"/>
    <mergeCell ref="B45:C45"/>
    <mergeCell ref="B46:C46"/>
  </mergeCells>
  <phoneticPr fontId="4" type="noConversion"/>
  <pageMargins left="0.7" right="0.7" top="0.75" bottom="0.75" header="0.3" footer="0.3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1EB3-E65C-4CBE-BA16-FC94EC7649B1}">
  <dimension ref="B3:C18"/>
  <sheetViews>
    <sheetView workbookViewId="0">
      <selection activeCell="B17" sqref="B17"/>
    </sheetView>
  </sheetViews>
  <sheetFormatPr defaultRowHeight="14.5" x14ac:dyDescent="0.35"/>
  <sheetData>
    <row r="3" spans="2:3" x14ac:dyDescent="0.35">
      <c r="B3">
        <v>97.2</v>
      </c>
      <c r="C3" s="19">
        <f>150/B3</f>
        <v>1.5432098765432098</v>
      </c>
    </row>
    <row r="4" spans="2:3" x14ac:dyDescent="0.35">
      <c r="B4">
        <v>48.5</v>
      </c>
      <c r="C4" s="19">
        <f t="shared" ref="C4:C18" si="0">150/B4</f>
        <v>3.0927835051546393</v>
      </c>
    </row>
    <row r="5" spans="2:3" x14ac:dyDescent="0.35">
      <c r="B5">
        <v>21.6</v>
      </c>
      <c r="C5" s="19">
        <f t="shared" si="0"/>
        <v>6.9444444444444438</v>
      </c>
    </row>
    <row r="6" spans="2:3" x14ac:dyDescent="0.35">
      <c r="B6">
        <v>39.1</v>
      </c>
      <c r="C6" s="19">
        <f t="shared" si="0"/>
        <v>3.836317135549872</v>
      </c>
    </row>
    <row r="7" spans="2:3" x14ac:dyDescent="0.35">
      <c r="B7">
        <v>25.2</v>
      </c>
      <c r="C7" s="19">
        <f t="shared" si="0"/>
        <v>5.9523809523809526</v>
      </c>
    </row>
    <row r="8" spans="2:3" x14ac:dyDescent="0.35">
      <c r="B8">
        <v>36.4</v>
      </c>
      <c r="C8" s="19">
        <f t="shared" si="0"/>
        <v>4.1208791208791213</v>
      </c>
    </row>
    <row r="9" spans="2:3" x14ac:dyDescent="0.35">
      <c r="B9">
        <v>54.4</v>
      </c>
      <c r="C9" s="19">
        <f t="shared" si="0"/>
        <v>2.7573529411764706</v>
      </c>
    </row>
    <row r="10" spans="2:3" x14ac:dyDescent="0.35">
      <c r="B10">
        <v>47.6</v>
      </c>
      <c r="C10" s="19">
        <f t="shared" si="0"/>
        <v>3.1512605042016806</v>
      </c>
    </row>
    <row r="11" spans="2:3" x14ac:dyDescent="0.35">
      <c r="B11">
        <v>54.4</v>
      </c>
      <c r="C11" s="19">
        <f t="shared" si="0"/>
        <v>2.7573529411764706</v>
      </c>
    </row>
    <row r="12" spans="2:3" x14ac:dyDescent="0.35">
      <c r="B12">
        <v>70.5</v>
      </c>
      <c r="C12" s="19">
        <f t="shared" si="0"/>
        <v>2.1276595744680851</v>
      </c>
    </row>
    <row r="13" spans="2:3" x14ac:dyDescent="0.35">
      <c r="B13">
        <v>82.9</v>
      </c>
      <c r="C13" s="19">
        <f t="shared" si="0"/>
        <v>1.8094089264173703</v>
      </c>
    </row>
    <row r="14" spans="2:3" x14ac:dyDescent="0.35">
      <c r="B14">
        <v>89.2</v>
      </c>
      <c r="C14" s="19">
        <f t="shared" si="0"/>
        <v>1.6816143497757847</v>
      </c>
    </row>
    <row r="15" spans="2:3" x14ac:dyDescent="0.35">
      <c r="B15">
        <v>67</v>
      </c>
      <c r="C15" s="19">
        <f t="shared" si="0"/>
        <v>2.2388059701492535</v>
      </c>
    </row>
    <row r="16" spans="2:3" x14ac:dyDescent="0.35">
      <c r="B16">
        <v>44</v>
      </c>
      <c r="C16" s="19">
        <f t="shared" si="0"/>
        <v>3.4090909090909092</v>
      </c>
    </row>
    <row r="17" spans="2:3" x14ac:dyDescent="0.35">
      <c r="B17">
        <v>80</v>
      </c>
      <c r="C17" s="19">
        <f t="shared" si="0"/>
        <v>1.875</v>
      </c>
    </row>
    <row r="18" spans="2:3" x14ac:dyDescent="0.35">
      <c r="B18">
        <v>20</v>
      </c>
      <c r="C18" s="19">
        <f t="shared" si="0"/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Medical Sciences Division - University of Oxford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Bates</dc:creator>
  <cp:lastModifiedBy>Adam Bates</cp:lastModifiedBy>
  <cp:lastPrinted>2025-10-06T08:05:47Z</cp:lastPrinted>
  <dcterms:created xsi:type="dcterms:W3CDTF">2025-09-23T13:04:30Z</dcterms:created>
  <dcterms:modified xsi:type="dcterms:W3CDTF">2025-10-09T12:19:19Z</dcterms:modified>
</cp:coreProperties>
</file>